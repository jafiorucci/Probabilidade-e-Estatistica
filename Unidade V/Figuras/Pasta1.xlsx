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82" windowWidth="28746" windowHeight="12715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F40" i="1"/>
  <c r="F41"/>
  <c r="C41"/>
  <c r="C43"/>
  <c r="F39"/>
  <c r="F38"/>
  <c r="D37"/>
  <c r="E37"/>
  <c r="C37"/>
  <c r="F35"/>
  <c r="F36"/>
  <c r="S7"/>
  <c r="S6"/>
  <c r="S5"/>
  <c r="P10"/>
  <c r="P9"/>
  <c r="P8"/>
  <c r="P7"/>
  <c r="P6"/>
  <c r="M6"/>
  <c r="M7"/>
  <c r="M8"/>
  <c r="M9"/>
  <c r="M10"/>
  <c r="M11"/>
  <c r="M12"/>
  <c r="M13"/>
  <c r="M14"/>
  <c r="M15"/>
  <c r="M16"/>
  <c r="M5"/>
  <c r="L6"/>
  <c r="L7"/>
  <c r="L8"/>
  <c r="L9"/>
  <c r="L10"/>
  <c r="L11"/>
  <c r="L12"/>
  <c r="L13"/>
  <c r="L14"/>
  <c r="L15"/>
  <c r="L16"/>
  <c r="L5"/>
  <c r="D20"/>
  <c r="E20"/>
  <c r="F20"/>
  <c r="C20"/>
  <c r="G18"/>
  <c r="G19"/>
  <c r="G17"/>
  <c r="G8"/>
  <c r="C39" l="1"/>
  <c r="C44" s="1"/>
  <c r="C40"/>
  <c r="C45" l="1"/>
</calcChain>
</file>

<file path=xl/sharedStrings.xml><?xml version="1.0" encoding="utf-8"?>
<sst xmlns="http://schemas.openxmlformats.org/spreadsheetml/2006/main" count="24" uniqueCount="22">
  <si>
    <t>X \ Y</t>
  </si>
  <si>
    <t>w</t>
  </si>
  <si>
    <t>P(Y)</t>
  </si>
  <si>
    <t>P(X)</t>
  </si>
  <si>
    <t>X</t>
  </si>
  <si>
    <t>Y</t>
  </si>
  <si>
    <t>X+Y</t>
  </si>
  <si>
    <t>X*Y</t>
  </si>
  <si>
    <t>p(x,y)</t>
  </si>
  <si>
    <t>S=X+Y</t>
  </si>
  <si>
    <t>p(s)</t>
  </si>
  <si>
    <t>M=X*Y</t>
  </si>
  <si>
    <t>p(m)</t>
  </si>
  <si>
    <t>EX</t>
  </si>
  <si>
    <t>EX2</t>
  </si>
  <si>
    <t>Var X</t>
  </si>
  <si>
    <t>EY</t>
  </si>
  <si>
    <t>EY2</t>
  </si>
  <si>
    <t>Var Y</t>
  </si>
  <si>
    <t>E[XY]</t>
  </si>
  <si>
    <t>Cov(X,Y)</t>
  </si>
  <si>
    <t xml:space="preserve">Cor(X,Y)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</si>
</sst>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0" fillId="3" borderId="0" xfId="0" applyNumberFormat="1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0" fillId="0" borderId="0" xfId="0" applyNumberFormat="1"/>
    <xf numFmtId="2" fontId="1" fillId="3" borderId="0" xfId="0" applyNumberFormat="1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S45"/>
  <sheetViews>
    <sheetView tabSelected="1" topLeftCell="A35" zoomScale="260" zoomScaleNormal="260" workbookViewId="0">
      <selection activeCell="E46" sqref="E46"/>
    </sheetView>
  </sheetViews>
  <sheetFormatPr defaultRowHeight="14.3"/>
  <cols>
    <col min="14" max="14" width="1.625" customWidth="1"/>
    <col min="17" max="17" width="1.375" customWidth="1"/>
  </cols>
  <sheetData>
    <row r="2" spans="2:19" ht="16.3">
      <c r="B2" s="3" t="s">
        <v>0</v>
      </c>
      <c r="C2" s="1">
        <v>0</v>
      </c>
      <c r="D2" s="1">
        <v>1</v>
      </c>
      <c r="E2" s="1">
        <v>2</v>
      </c>
      <c r="F2" s="1">
        <v>3</v>
      </c>
    </row>
    <row r="3" spans="2:19">
      <c r="B3" s="1">
        <v>0</v>
      </c>
      <c r="C3" s="2">
        <v>0.2</v>
      </c>
      <c r="D3" s="2">
        <v>0.2</v>
      </c>
      <c r="E3" s="2">
        <v>0.14000000000000001</v>
      </c>
      <c r="F3" s="2">
        <v>0.06</v>
      </c>
    </row>
    <row r="4" spans="2:19">
      <c r="B4" s="1">
        <v>1</v>
      </c>
      <c r="C4" s="2">
        <v>0.15</v>
      </c>
      <c r="D4" s="2" t="s">
        <v>1</v>
      </c>
      <c r="E4" s="2">
        <v>0.04</v>
      </c>
      <c r="F4" s="2">
        <v>0.03</v>
      </c>
      <c r="I4" s="1" t="s">
        <v>4</v>
      </c>
      <c r="J4" s="1" t="s">
        <v>5</v>
      </c>
      <c r="K4" s="1" t="s">
        <v>8</v>
      </c>
      <c r="L4" s="1" t="s">
        <v>6</v>
      </c>
      <c r="M4" s="1" t="s">
        <v>7</v>
      </c>
      <c r="O4" s="1" t="s">
        <v>9</v>
      </c>
      <c r="P4" s="1" t="s">
        <v>10</v>
      </c>
      <c r="R4" s="1" t="s">
        <v>11</v>
      </c>
      <c r="S4" s="1" t="s">
        <v>12</v>
      </c>
    </row>
    <row r="5" spans="2:19">
      <c r="B5" s="1">
        <v>2</v>
      </c>
      <c r="C5" s="2">
        <v>0.05</v>
      </c>
      <c r="D5" s="2">
        <v>0.02</v>
      </c>
      <c r="E5" s="2">
        <v>0.02</v>
      </c>
      <c r="F5" s="2">
        <v>0.01</v>
      </c>
      <c r="I5" s="2">
        <v>0</v>
      </c>
      <c r="J5" s="2">
        <v>0</v>
      </c>
      <c r="K5" s="8">
        <v>0.2</v>
      </c>
      <c r="L5" s="2">
        <f>SUM(I5:J5)</f>
        <v>0</v>
      </c>
      <c r="M5" s="2">
        <f>I5*J5</f>
        <v>0</v>
      </c>
      <c r="N5" s="9"/>
      <c r="O5" s="2">
        <v>0</v>
      </c>
      <c r="P5" s="8">
        <v>0.2</v>
      </c>
      <c r="Q5" s="9"/>
      <c r="R5" s="2">
        <v>0</v>
      </c>
      <c r="S5" s="8">
        <f>0.2+0.2+0.14+0.06+0.15+0.05</f>
        <v>0.80000000000000016</v>
      </c>
    </row>
    <row r="6" spans="2:19">
      <c r="I6" s="2">
        <v>0</v>
      </c>
      <c r="J6" s="2">
        <v>1</v>
      </c>
      <c r="K6" s="8">
        <v>0.2</v>
      </c>
      <c r="L6" s="2">
        <f t="shared" ref="L6:L16" si="0">SUM(I6:J6)</f>
        <v>1</v>
      </c>
      <c r="M6" s="2">
        <f t="shared" ref="M6:M16" si="1">I6*J6</f>
        <v>0</v>
      </c>
      <c r="N6" s="9"/>
      <c r="O6" s="2">
        <v>1</v>
      </c>
      <c r="P6" s="8">
        <f>0.2+0.15</f>
        <v>0.35</v>
      </c>
      <c r="Q6" s="9"/>
      <c r="R6" s="2">
        <v>1</v>
      </c>
      <c r="S6" s="8">
        <f>0.08</f>
        <v>0.08</v>
      </c>
    </row>
    <row r="7" spans="2:19">
      <c r="I7" s="2">
        <v>0</v>
      </c>
      <c r="J7" s="2">
        <v>2</v>
      </c>
      <c r="K7" s="8">
        <v>0.14000000000000001</v>
      </c>
      <c r="L7" s="2">
        <f t="shared" si="0"/>
        <v>2</v>
      </c>
      <c r="M7" s="2">
        <f t="shared" si="1"/>
        <v>0</v>
      </c>
      <c r="N7" s="9"/>
      <c r="O7" s="2">
        <v>2</v>
      </c>
      <c r="P7" s="8">
        <f>0.14+0.08+0.05</f>
        <v>0.27</v>
      </c>
      <c r="Q7" s="9"/>
      <c r="R7" s="2">
        <v>2</v>
      </c>
      <c r="S7" s="8">
        <f>0.04+0.02</f>
        <v>0.06</v>
      </c>
    </row>
    <row r="8" spans="2:19">
      <c r="G8">
        <f>SUM(C3:F5)</f>
        <v>0.92000000000000026</v>
      </c>
      <c r="I8" s="2">
        <v>0</v>
      </c>
      <c r="J8" s="2">
        <v>3</v>
      </c>
      <c r="K8" s="8">
        <v>0.06</v>
      </c>
      <c r="L8" s="2">
        <f t="shared" si="0"/>
        <v>3</v>
      </c>
      <c r="M8" s="2">
        <f t="shared" si="1"/>
        <v>0</v>
      </c>
      <c r="N8" s="9"/>
      <c r="O8" s="2">
        <v>3</v>
      </c>
      <c r="P8" s="8">
        <f>0.06+0.04+0.02</f>
        <v>0.12000000000000001</v>
      </c>
      <c r="Q8" s="9"/>
      <c r="R8" s="2">
        <v>3</v>
      </c>
      <c r="S8" s="8">
        <v>0.03</v>
      </c>
    </row>
    <row r="9" spans="2:19">
      <c r="I9" s="2">
        <v>1</v>
      </c>
      <c r="J9" s="2">
        <v>0</v>
      </c>
      <c r="K9" s="8">
        <v>0.15</v>
      </c>
      <c r="L9" s="2">
        <f t="shared" si="0"/>
        <v>1</v>
      </c>
      <c r="M9" s="2">
        <f t="shared" si="1"/>
        <v>0</v>
      </c>
      <c r="N9" s="9"/>
      <c r="O9" s="2">
        <v>4</v>
      </c>
      <c r="P9" s="8">
        <f>0.03+0.02</f>
        <v>0.05</v>
      </c>
      <c r="Q9" s="9"/>
      <c r="R9" s="2">
        <v>4</v>
      </c>
      <c r="S9" s="8">
        <v>0.02</v>
      </c>
    </row>
    <row r="10" spans="2:19">
      <c r="I10" s="2">
        <v>1</v>
      </c>
      <c r="J10" s="2">
        <v>1</v>
      </c>
      <c r="K10" s="8">
        <v>0.08</v>
      </c>
      <c r="L10" s="2">
        <f t="shared" si="0"/>
        <v>2</v>
      </c>
      <c r="M10" s="2">
        <f t="shared" si="1"/>
        <v>1</v>
      </c>
      <c r="N10" s="9"/>
      <c r="O10" s="2">
        <v>5</v>
      </c>
      <c r="P10" s="8">
        <f>0.01</f>
        <v>0.01</v>
      </c>
      <c r="Q10" s="9"/>
      <c r="R10" s="2">
        <v>5</v>
      </c>
      <c r="S10" s="8">
        <v>0</v>
      </c>
    </row>
    <row r="11" spans="2:19">
      <c r="I11" s="2">
        <v>1</v>
      </c>
      <c r="J11" s="2">
        <v>2</v>
      </c>
      <c r="K11" s="8">
        <v>0.04</v>
      </c>
      <c r="L11" s="2">
        <f t="shared" si="0"/>
        <v>3</v>
      </c>
      <c r="M11" s="2">
        <f t="shared" si="1"/>
        <v>2</v>
      </c>
      <c r="N11" s="9"/>
      <c r="O11" s="9"/>
      <c r="P11" s="9"/>
      <c r="Q11" s="9"/>
      <c r="R11" s="2">
        <v>6</v>
      </c>
      <c r="S11" s="8">
        <v>0.01</v>
      </c>
    </row>
    <row r="12" spans="2:19">
      <c r="I12" s="2">
        <v>1</v>
      </c>
      <c r="J12" s="2">
        <v>3</v>
      </c>
      <c r="K12" s="8">
        <v>0.03</v>
      </c>
      <c r="L12" s="2">
        <f t="shared" si="0"/>
        <v>4</v>
      </c>
      <c r="M12" s="2">
        <f t="shared" si="1"/>
        <v>3</v>
      </c>
      <c r="N12" s="9"/>
      <c r="O12" s="9"/>
      <c r="P12" s="9"/>
      <c r="Q12" s="9"/>
      <c r="R12" s="9"/>
      <c r="S12" s="9"/>
    </row>
    <row r="13" spans="2:19">
      <c r="I13" s="2">
        <v>2</v>
      </c>
      <c r="J13" s="2">
        <v>0</v>
      </c>
      <c r="K13" s="8">
        <v>0.05</v>
      </c>
      <c r="L13" s="2">
        <f t="shared" si="0"/>
        <v>2</v>
      </c>
      <c r="M13" s="2">
        <f t="shared" si="1"/>
        <v>0</v>
      </c>
      <c r="N13" s="9"/>
      <c r="O13" s="9"/>
      <c r="P13" s="9"/>
      <c r="Q13" s="9"/>
      <c r="R13" s="9"/>
      <c r="S13" s="9"/>
    </row>
    <row r="14" spans="2:19">
      <c r="I14" s="2">
        <v>2</v>
      </c>
      <c r="J14" s="2">
        <v>1</v>
      </c>
      <c r="K14" s="8">
        <v>0.02</v>
      </c>
      <c r="L14" s="2">
        <f t="shared" si="0"/>
        <v>3</v>
      </c>
      <c r="M14" s="2">
        <f t="shared" si="1"/>
        <v>2</v>
      </c>
      <c r="N14" s="9"/>
      <c r="O14" s="9"/>
      <c r="P14" s="9"/>
      <c r="Q14" s="9"/>
      <c r="R14" s="9"/>
      <c r="S14" s="9"/>
    </row>
    <row r="15" spans="2:19">
      <c r="I15" s="2">
        <v>2</v>
      </c>
      <c r="J15" s="2">
        <v>2</v>
      </c>
      <c r="K15" s="8">
        <v>0.02</v>
      </c>
      <c r="L15" s="2">
        <f t="shared" si="0"/>
        <v>4</v>
      </c>
      <c r="M15" s="2">
        <f t="shared" si="1"/>
        <v>4</v>
      </c>
      <c r="N15" s="9"/>
      <c r="O15" s="9"/>
      <c r="P15" s="9"/>
      <c r="Q15" s="9"/>
      <c r="R15" s="9"/>
      <c r="S15" s="9"/>
    </row>
    <row r="16" spans="2:19" ht="16.3">
      <c r="B16" s="3" t="s">
        <v>0</v>
      </c>
      <c r="C16" s="1">
        <v>0</v>
      </c>
      <c r="D16" s="1">
        <v>1</v>
      </c>
      <c r="E16" s="1">
        <v>2</v>
      </c>
      <c r="F16" s="1">
        <v>3</v>
      </c>
      <c r="G16" s="6" t="s">
        <v>3</v>
      </c>
      <c r="I16" s="2">
        <v>2</v>
      </c>
      <c r="J16" s="2">
        <v>3</v>
      </c>
      <c r="K16" s="8">
        <v>0.01</v>
      </c>
      <c r="L16" s="2">
        <f t="shared" si="0"/>
        <v>5</v>
      </c>
      <c r="M16" s="2">
        <f t="shared" si="1"/>
        <v>6</v>
      </c>
      <c r="N16" s="9"/>
      <c r="O16" s="9"/>
      <c r="P16" s="9"/>
      <c r="Q16" s="9"/>
      <c r="R16" s="9"/>
      <c r="S16" s="9"/>
    </row>
    <row r="17" spans="2:7">
      <c r="B17" s="1">
        <v>0</v>
      </c>
      <c r="C17" s="4">
        <v>0.2</v>
      </c>
      <c r="D17" s="4">
        <v>0.2</v>
      </c>
      <c r="E17" s="4">
        <v>0.14000000000000001</v>
      </c>
      <c r="F17" s="4">
        <v>0.06</v>
      </c>
      <c r="G17" s="5">
        <f>SUM(C17:F17)</f>
        <v>0.60000000000000009</v>
      </c>
    </row>
    <row r="18" spans="2:7">
      <c r="B18" s="1">
        <v>1</v>
      </c>
      <c r="C18" s="4">
        <v>0.15</v>
      </c>
      <c r="D18" s="4">
        <v>0.08</v>
      </c>
      <c r="E18" s="4">
        <v>0.04</v>
      </c>
      <c r="F18" s="4">
        <v>0.03</v>
      </c>
      <c r="G18" s="5">
        <f t="shared" ref="G18:G19" si="2">SUM(C18:F18)</f>
        <v>0.29999999999999993</v>
      </c>
    </row>
    <row r="19" spans="2:7">
      <c r="B19" s="1">
        <v>2</v>
      </c>
      <c r="C19" s="4">
        <v>0.05</v>
      </c>
      <c r="D19" s="4">
        <v>0.02</v>
      </c>
      <c r="E19" s="4">
        <v>0.02</v>
      </c>
      <c r="F19" s="4">
        <v>0.01</v>
      </c>
      <c r="G19" s="5">
        <f t="shared" si="2"/>
        <v>0.1</v>
      </c>
    </row>
    <row r="20" spans="2:7">
      <c r="B20" s="6" t="s">
        <v>2</v>
      </c>
      <c r="C20" s="5">
        <f>SUM(C17:C19)</f>
        <v>0.39999999999999997</v>
      </c>
      <c r="D20" s="5">
        <f t="shared" ref="D20:F20" si="3">SUM(D17:D19)</f>
        <v>0.30000000000000004</v>
      </c>
      <c r="E20" s="5">
        <f t="shared" si="3"/>
        <v>0.2</v>
      </c>
      <c r="F20" s="5">
        <f t="shared" si="3"/>
        <v>9.9999999999999992E-2</v>
      </c>
      <c r="G20" s="5">
        <v>1</v>
      </c>
    </row>
    <row r="34" spans="2:8" ht="16.3">
      <c r="B34" s="3" t="s">
        <v>0</v>
      </c>
      <c r="C34" s="1">
        <v>0</v>
      </c>
      <c r="D34" s="1">
        <v>1</v>
      </c>
      <c r="E34" s="1">
        <v>2</v>
      </c>
    </row>
    <row r="35" spans="2:8">
      <c r="B35" s="1">
        <v>1</v>
      </c>
      <c r="C35" s="8">
        <v>0.05</v>
      </c>
      <c r="D35" s="8">
        <v>0.1</v>
      </c>
      <c r="E35" s="8">
        <v>0.4</v>
      </c>
      <c r="F35" s="7">
        <f t="shared" ref="F35:F36" si="4">SUM(C35:E35)</f>
        <v>0.55000000000000004</v>
      </c>
    </row>
    <row r="36" spans="2:8">
      <c r="B36" s="1">
        <v>2</v>
      </c>
      <c r="C36" s="8">
        <v>0.3</v>
      </c>
      <c r="D36" s="8">
        <v>0.1</v>
      </c>
      <c r="E36" s="8">
        <v>0.05</v>
      </c>
      <c r="F36" s="7">
        <f t="shared" si="4"/>
        <v>0.45</v>
      </c>
    </row>
    <row r="37" spans="2:8">
      <c r="C37" s="7">
        <f>SUM(C35:C36)</f>
        <v>0.35</v>
      </c>
      <c r="D37" s="7">
        <f>SUM(D35:D36)</f>
        <v>0.2</v>
      </c>
      <c r="E37" s="7">
        <f>SUM(E35:E36)</f>
        <v>0.45</v>
      </c>
      <c r="F37" s="7"/>
    </row>
    <row r="38" spans="2:8">
      <c r="C38" s="7"/>
      <c r="D38" s="7"/>
      <c r="E38" s="7"/>
      <c r="F38" s="7">
        <f>SUM(C35:E36)</f>
        <v>1</v>
      </c>
    </row>
    <row r="39" spans="2:8">
      <c r="B39" t="s">
        <v>13</v>
      </c>
      <c r="C39" s="8">
        <f>1*F35+2*F36</f>
        <v>1.4500000000000002</v>
      </c>
      <c r="E39" t="s">
        <v>16</v>
      </c>
      <c r="F39">
        <f>1*D37+2*E37</f>
        <v>1.1000000000000001</v>
      </c>
    </row>
    <row r="40" spans="2:8">
      <c r="B40" t="s">
        <v>14</v>
      </c>
      <c r="C40" s="8">
        <f>1*F35+4*F36</f>
        <v>2.35</v>
      </c>
      <c r="E40" t="s">
        <v>17</v>
      </c>
      <c r="F40">
        <f>1*D37+4*E37</f>
        <v>2</v>
      </c>
    </row>
    <row r="41" spans="2:8">
      <c r="B41" t="s">
        <v>15</v>
      </c>
      <c r="C41" s="7">
        <f>C40-C39^2</f>
        <v>0.24749999999999961</v>
      </c>
      <c r="E41" t="s">
        <v>18</v>
      </c>
      <c r="F41">
        <f>F40-F39^2</f>
        <v>0.78999999999999981</v>
      </c>
    </row>
    <row r="42" spans="2:8">
      <c r="H42" s="7"/>
    </row>
    <row r="43" spans="2:8">
      <c r="B43" t="s">
        <v>19</v>
      </c>
      <c r="C43">
        <f>1*D35+2*(E35+D36) + 4*E36</f>
        <v>1.3</v>
      </c>
    </row>
    <row r="44" spans="2:8">
      <c r="B44" t="s">
        <v>20</v>
      </c>
      <c r="C44">
        <f>C43-C39*F39</f>
        <v>-0.29500000000000037</v>
      </c>
    </row>
    <row r="45" spans="2:8">
      <c r="B45" t="s">
        <v>21</v>
      </c>
      <c r="C45">
        <f xml:space="preserve"> C44/SQRT(C41*F41)</f>
        <v>-0.66714597269354714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Fiorucci</dc:creator>
  <cp:lastModifiedBy>Augusto Fiorucci</cp:lastModifiedBy>
  <dcterms:created xsi:type="dcterms:W3CDTF">2022-07-14T22:03:04Z</dcterms:created>
  <dcterms:modified xsi:type="dcterms:W3CDTF">2023-05-30T18:52:01Z</dcterms:modified>
</cp:coreProperties>
</file>